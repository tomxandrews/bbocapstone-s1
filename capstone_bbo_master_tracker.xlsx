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Tracking Summary" sheetId="1" state="visible" r:id="rId1"/>
    <sheet xmlns:r="http://schemas.openxmlformats.org/officeDocument/2006/relationships" name="Weekly Submissions 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7">
    <font>
      <name val="Calibri"/>
      <family val="2"/>
      <color theme="1"/>
      <sz val="11"/>
      <scheme val="minor"/>
    </font>
    <font>
      <name val="Calibri"/>
      <b val="1"/>
      <color rgb="001F4E78"/>
      <sz val="16"/>
    </font>
    <font>
      <name val="Calibri"/>
      <i val="1"/>
      <color rgb="00595959"/>
      <sz val="11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b val="1"/>
      <color rgb="00276A3C"/>
      <sz val="10"/>
    </font>
  </fonts>
  <fills count="8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9FAFB"/>
        <bgColor rgb="00F9FAFB"/>
      </patternFill>
    </fill>
    <fill>
      <patternFill patternType="solid">
        <fgColor rgb="00DCE6F1"/>
        <bgColor rgb="00DCE6F1"/>
      </patternFill>
    </fill>
    <fill>
      <patternFill patternType="solid">
        <fgColor rgb="00E2EFDA"/>
        <bgColor rgb="00E2EFDA"/>
      </patternFill>
    </fill>
    <fill>
      <patternFill patternType="solid">
        <fgColor rgb="00F2F4F8"/>
        <bgColor rgb="00F2F4F8"/>
      </patternFill>
    </fill>
    <fill>
      <patternFill patternType="solid">
        <fgColor rgb="004472C4"/>
        <bgColor rgb="004472C4"/>
      </patternFill>
    </fill>
  </fills>
  <borders count="3">
    <border>
      <left/>
      <right/>
      <top/>
      <bottom/>
      <diagonal/>
    </border>
    <border>
      <left style="thin">
        <color rgb="001F4E78"/>
      </left>
      <right style="thin">
        <color rgb="001F4E78"/>
      </right>
      <top style="thin">
        <color rgb="001F4E78"/>
      </top>
      <bottom style="medium">
        <color rgb="001F4E78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5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164" fontId="4" fillId="3" borderId="2" applyAlignment="1" pivotButton="0" quotePrefix="0" xfId="0">
      <alignment horizontal="right" vertical="center"/>
    </xf>
    <xf numFmtId="11" fontId="4" fillId="3" borderId="2" applyAlignment="1" pivotButton="0" quotePrefix="0" xfId="0">
      <alignment horizontal="right" vertical="center"/>
    </xf>
    <xf numFmtId="0" fontId="5" fillId="4" borderId="2" applyAlignment="1" pivotButton="0" quotePrefix="0" xfId="0">
      <alignment horizontal="center" vertical="center"/>
    </xf>
    <xf numFmtId="164" fontId="6" fillId="5" borderId="2" applyAlignment="1" pivotButton="0" quotePrefix="0" xfId="0">
      <alignment horizontal="right" vertical="center"/>
    </xf>
    <xf numFmtId="0" fontId="5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0" fontId="4" fillId="6" borderId="2" applyAlignment="1" pivotButton="0" quotePrefix="0" xfId="0">
      <alignment horizontal="center" vertical="center"/>
    </xf>
    <xf numFmtId="164" fontId="4" fillId="6" borderId="2" applyAlignment="1" pivotButton="0" quotePrefix="0" xfId="0">
      <alignment horizontal="right" vertical="center"/>
    </xf>
    <xf numFmtId="0" fontId="3" fillId="7" borderId="1" applyAlignment="1" pivotButton="0" quotePrefix="0" xfId="0">
      <alignment horizontal="center" vertical="center"/>
    </xf>
    <xf numFmtId="0" fontId="6" fillId="5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8" customWidth="1" min="3" max="3"/>
    <col width="32" customWidth="1" min="4" max="4"/>
    <col width="18" customWidth="1" min="5" max="5"/>
    <col width="32" customWidth="1" min="6" max="6"/>
    <col width="18" customWidth="1" min="7" max="7"/>
    <col width="32" customWidth="1" min="8" max="8"/>
    <col width="18" customWidth="1" min="9" max="9"/>
    <col width="32" customWidth="1" min="10" max="10"/>
    <col width="20" customWidth="1" min="11" max="11"/>
    <col width="32" customWidth="1" min="12" max="12"/>
  </cols>
  <sheetData>
    <row r="1">
      <c r="A1" s="1" t="inlineStr">
        <is>
          <t>Capstone Bayesian Black-Box Optimization: Master Tracking Table</t>
        </is>
      </c>
    </row>
    <row r="2">
      <c r="A2" s="2" t="inlineStr">
        <is>
          <t>Tracking initial data, weekly portal queries, returned outputs, and current all-time bests (Functions 1–8)</t>
        </is>
      </c>
    </row>
    <row r="3"/>
    <row r="4" ht="28" customHeight="1">
      <c r="A4" s="3" t="inlineStr">
        <is>
          <t>Function</t>
        </is>
      </c>
      <c r="B4" s="3" t="inlineStr">
        <is>
          <t>Domain Scenario</t>
        </is>
      </c>
      <c r="C4" s="3" t="inlineStr">
        <is>
          <t>Dim</t>
        </is>
      </c>
      <c r="D4" s="3" t="inlineStr">
        <is>
          <t>Initial Best Input Vector</t>
        </is>
      </c>
      <c r="E4" s="3" t="inlineStr">
        <is>
          <t>Initial Best Output</t>
        </is>
      </c>
      <c r="F4" s="3" t="inlineStr">
        <is>
          <t>Week 1 Submitted Vector</t>
        </is>
      </c>
      <c r="G4" s="3" t="inlineStr">
        <is>
          <t>Week 1 Output</t>
        </is>
      </c>
      <c r="H4" s="3" t="inlineStr">
        <is>
          <t>Week 2 Submitted Vector</t>
        </is>
      </c>
      <c r="I4" s="3" t="inlineStr">
        <is>
          <t>Week 2 Output</t>
        </is>
      </c>
      <c r="J4" s="3" t="inlineStr">
        <is>
          <t>Week 3 Submitted Vector</t>
        </is>
      </c>
      <c r="K4" s="3" t="inlineStr">
        <is>
          <t>Current Best Output</t>
        </is>
      </c>
      <c r="L4" s="3" t="inlineStr">
        <is>
          <t>Peak Source / Milestone</t>
        </is>
      </c>
    </row>
    <row r="5" ht="22" customHeight="1">
      <c r="A5" s="4" t="inlineStr">
        <is>
          <t>Function 1</t>
        </is>
      </c>
      <c r="B5" s="5" t="inlineStr">
        <is>
          <t>Radiation Source Detection</t>
        </is>
      </c>
      <c r="C5" s="6" t="n">
        <v>2</v>
      </c>
      <c r="D5" s="6" t="inlineStr">
        <is>
          <t>0.650114-0.681526</t>
        </is>
      </c>
      <c r="E5" s="7" t="n">
        <v>0</v>
      </c>
      <c r="F5" s="6" t="inlineStr">
        <is>
          <t>0.670114-0.666526</t>
        </is>
      </c>
      <c r="G5" s="7" t="n">
        <v>-0.003606</v>
      </c>
      <c r="H5" s="6" t="inlineStr">
        <is>
          <t>0.000000-0.416565</t>
        </is>
      </c>
      <c r="I5" s="8" t="n">
        <v>-1.434379e-124</v>
      </c>
      <c r="J5" s="9" t="inlineStr">
        <is>
          <t>0.660114-0.674026</t>
        </is>
      </c>
      <c r="K5" s="10">
        <f>MAX(E5, G5, I5)</f>
        <v/>
      </c>
      <c r="L5" s="5" t="inlineStr">
        <is>
          <t>Baseline Zero (Active: W1 -0.003606)</t>
        </is>
      </c>
    </row>
    <row r="6" ht="22" customHeight="1">
      <c r="A6" s="11" t="inlineStr">
        <is>
          <t>Function 2</t>
        </is>
      </c>
      <c r="B6" s="12" t="inlineStr">
        <is>
          <t>Noisy Log-Likelihood Modeling</t>
        </is>
      </c>
      <c r="C6" s="13" t="n">
        <v>2</v>
      </c>
      <c r="D6" s="13" t="inlineStr">
        <is>
          <t>0.702637-0.926564</t>
        </is>
      </c>
      <c r="E6" s="14" t="n">
        <v>0.611205</v>
      </c>
      <c r="F6" s="13" t="inlineStr">
        <is>
          <t>0.725000-0.945000</t>
        </is>
      </c>
      <c r="G6" s="14" t="n">
        <v>0.506702</v>
      </c>
      <c r="H6" s="13" t="inlineStr">
        <is>
          <t>1.000000-1.000000</t>
        </is>
      </c>
      <c r="I6" s="14" t="n">
        <v>0.091422</v>
      </c>
      <c r="J6" s="9" t="inlineStr">
        <is>
          <t>0.691327-0.960000</t>
        </is>
      </c>
      <c r="K6" s="10">
        <f>MAX(E6, G6, I6)</f>
        <v/>
      </c>
      <c r="L6" s="12" t="inlineStr">
        <is>
          <t>Initial Dataset Baseline</t>
        </is>
      </c>
    </row>
    <row r="7" ht="22" customHeight="1">
      <c r="A7" s="4" t="inlineStr">
        <is>
          <t>Function 3</t>
        </is>
      </c>
      <c r="B7" s="5" t="inlineStr">
        <is>
          <t>Clinical Drug Side-Effect Minimization</t>
        </is>
      </c>
      <c r="C7" s="6" t="n">
        <v>3</v>
      </c>
      <c r="D7" s="6" t="inlineStr">
        <is>
          <t>0.492581-0.611593-0.340176</t>
        </is>
      </c>
      <c r="E7" s="7" t="n">
        <v>-0.034835</v>
      </c>
      <c r="F7" s="6" t="inlineStr">
        <is>
          <t>0.515000-0.635000-0.150000</t>
        </is>
      </c>
      <c r="G7" s="7" t="n">
        <v>-0.048004</v>
      </c>
      <c r="H7" s="6" t="inlineStr">
        <is>
          <t>0.000000-1.000000-0.000000</t>
        </is>
      </c>
      <c r="I7" s="7" t="n">
        <v>-0.157184</v>
      </c>
      <c r="J7" s="9" t="inlineStr">
        <is>
          <t>0.640000-0.650000-0.098696</t>
        </is>
      </c>
      <c r="K7" s="10">
        <f>MAX(E7, G7, I7)</f>
        <v/>
      </c>
      <c r="L7" s="5" t="inlineStr">
        <is>
          <t>Initial Dataset Baseline</t>
        </is>
      </c>
    </row>
    <row r="8" ht="22" customHeight="1">
      <c r="A8" s="11" t="inlineStr">
        <is>
          <t>Function 4</t>
        </is>
      </c>
      <c r="B8" s="12" t="inlineStr">
        <is>
          <t>4D Central Warehouse Placement</t>
        </is>
      </c>
      <c r="C8" s="13" t="n">
        <v>4</v>
      </c>
      <c r="D8" s="13" t="inlineStr">
        <is>
          <t>0.577766-0.428772-0.425826-0.249007</t>
        </is>
      </c>
      <c r="E8" s="14" t="n">
        <v>-4.025542</v>
      </c>
      <c r="F8" s="13" t="inlineStr">
        <is>
          <t>0.525000-0.435000-0.410000-0.220000</t>
        </is>
      </c>
      <c r="G8" s="14" t="n">
        <v>-4.025557</v>
      </c>
      <c r="H8" s="13" t="inlineStr">
        <is>
          <t>0.512945-0.502627-0.409606-0.234242</t>
        </is>
      </c>
      <c r="I8" s="14" t="n">
        <v>-3.857021</v>
      </c>
      <c r="J8" s="9" t="inlineStr">
        <is>
          <t>0.490000-0.470000-0.390610-0.260000</t>
        </is>
      </c>
      <c r="K8" s="10">
        <f>MAX(E8, G8, I8)</f>
        <v/>
      </c>
      <c r="L8" s="12" t="inlineStr">
        <is>
          <t>🎉 Week 2 Global Maximum</t>
        </is>
      </c>
    </row>
    <row r="9" ht="22" customHeight="1">
      <c r="A9" s="4" t="inlineStr">
        <is>
          <t>Function 5</t>
        </is>
      </c>
      <c r="B9" s="5" t="inlineStr">
        <is>
          <t>Chemical Manufacturing Yield</t>
        </is>
      </c>
      <c r="C9" s="6" t="n">
        <v>4</v>
      </c>
      <c r="D9" s="6" t="inlineStr">
        <is>
          <t>0.224189-0.846480-0.879484-0.878516</t>
        </is>
      </c>
      <c r="E9" s="7" t="n">
        <v>1088.859618</v>
      </c>
      <c r="F9" s="6" t="inlineStr">
        <is>
          <t>0.238338-0.837755-0.884887-0.879659</t>
        </is>
      </c>
      <c r="G9" s="7" t="n">
        <v>1088.858192</v>
      </c>
      <c r="H9" s="6" t="inlineStr">
        <is>
          <t>0.219140-0.864334-1.000000-1.000000</t>
        </is>
      </c>
      <c r="I9" s="7" t="n">
        <v>3044.749281</v>
      </c>
      <c r="J9" s="9" t="inlineStr">
        <is>
          <t>0.200000-0.890000-0.999999-0.999999</t>
        </is>
      </c>
      <c r="K9" s="10">
        <f>MAX(E9, G9, I9)</f>
        <v/>
      </c>
      <c r="L9" s="5" t="inlineStr">
        <is>
          <t>🎉 Week 2 Massive Peak (~3x Yield)</t>
        </is>
      </c>
    </row>
    <row r="10" ht="22" customHeight="1">
      <c r="A10" s="11" t="inlineStr">
        <is>
          <t>Function 6</t>
        </is>
      </c>
      <c r="B10" s="12" t="inlineStr">
        <is>
          <t>5D Cake Recipe Taste Optimization</t>
        </is>
      </c>
      <c r="C10" s="13" t="n">
        <v>5</v>
      </c>
      <c r="D10" s="13" t="inlineStr">
        <is>
          <t>0.728186-0.154693-0.732552-0.693997-0.056401</t>
        </is>
      </c>
      <c r="E10" s="14" t="n">
        <v>-0.714265</v>
      </c>
      <c r="F10" s="13" t="inlineStr">
        <is>
          <t>0.710000-0.180000-0.740000-0.710000-0.025000</t>
        </is>
      </c>
      <c r="G10" s="14" t="n">
        <v>-0.664287</v>
      </c>
      <c r="H10" s="13" t="inlineStr">
        <is>
          <t>1.000000-0.000000-1.000000-1.000000-0.000000</t>
        </is>
      </c>
      <c r="I10" s="14" t="n">
        <v>-1.636863</v>
      </c>
      <c r="J10" s="9" t="inlineStr">
        <is>
          <t>0.690000-0.150000-0.710000-0.730000-0.010000</t>
        </is>
      </c>
      <c r="K10" s="10">
        <f>MAX(E10, G10, I10)</f>
        <v/>
      </c>
      <c r="L10" s="12" t="inlineStr">
        <is>
          <t>🎉 Week 1 Global Maximum</t>
        </is>
      </c>
    </row>
    <row r="11" ht="22" customHeight="1">
      <c r="A11" s="4" t="inlineStr">
        <is>
          <t>Function 7</t>
        </is>
      </c>
      <c r="B11" s="5" t="inlineStr">
        <is>
          <t>6D Neural Hyperparameter Tuning</t>
        </is>
      </c>
      <c r="C11" s="6" t="n">
        <v>6</v>
      </c>
      <c r="D11" s="6" t="inlineStr">
        <is>
          <t>0.057896-0.491672-0.247422-0.218118-0.420428-0.730970</t>
        </is>
      </c>
      <c r="E11" s="7" t="n">
        <v>1.364968</v>
      </c>
      <c r="F11" s="6" t="inlineStr">
        <is>
          <t>0.050000-0.485000-0.255000-0.210000-0.430000-0.745000</t>
        </is>
      </c>
      <c r="G11" s="7" t="n">
        <v>1.36497</v>
      </c>
      <c r="H11" s="6" t="inlineStr">
        <is>
          <t>0.000000-1.000000-1.000000-0.000000-1.000000-1.000000</t>
        </is>
      </c>
      <c r="I11" s="7" t="n">
        <v>0.000968</v>
      </c>
      <c r="J11" s="9" t="inlineStr">
        <is>
          <t>0.054000-0.488000-0.251000-0.214000-0.425000-0.738000</t>
        </is>
      </c>
      <c r="K11" s="10">
        <f>MAX(E11, G11, I11)</f>
        <v/>
      </c>
      <c r="L11" s="5" t="inlineStr">
        <is>
          <t>🎉 Week 1 Refined Summit</t>
        </is>
      </c>
    </row>
    <row r="12" ht="22" customHeight="1">
      <c r="A12" s="11" t="inlineStr">
        <is>
          <t>Function 8</t>
        </is>
      </c>
      <c r="B12" s="12" t="inlineStr">
        <is>
          <t>8D Neural Hyperparameter Tuning</t>
        </is>
      </c>
      <c r="C12" s="13" t="n">
        <v>8</v>
      </c>
      <c r="D12" s="13" t="inlineStr">
        <is>
          <t>0.056447-0.065956-0.022929-0.038786-0.403935-0.801055-0.488307-0.893085</t>
        </is>
      </c>
      <c r="E12" s="14" t="n">
        <v>9.598482000000001</v>
      </c>
      <c r="F12" s="13" t="inlineStr">
        <is>
          <t>0.045000-0.055000-0.020000-0.035000-0.415000-0.810000-0.495000-0.905000</t>
        </is>
      </c>
      <c r="G12" s="14" t="n">
        <v>9.598482000000001</v>
      </c>
      <c r="H12" s="13" t="inlineStr">
        <is>
          <t>0.000000-0.000000-0.176194-0.000000-0.000000-1.000000-1.000000-1.000000</t>
        </is>
      </c>
      <c r="I12" s="14" t="n">
        <v>8.062597999999999</v>
      </c>
      <c r="J12" s="9" t="inlineStr">
        <is>
          <t>0.035000-0.045000-0.030000-0.045000-0.425000-0.790000-0.475000-0.885000</t>
        </is>
      </c>
      <c r="K12" s="10">
        <f>MAX(E12, G12, I12)</f>
        <v/>
      </c>
      <c r="L12" s="12" t="inlineStr">
        <is>
          <t>Initial Dataset / W1 Peak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8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8" customWidth="1" min="3" max="3"/>
    <col width="24" customWidth="1" min="4" max="4"/>
    <col width="34" customWidth="1" min="5" max="5"/>
    <col width="18" customWidth="1" min="6" max="6"/>
    <col width="18" customWidth="1" min="7" max="7"/>
    <col width="18" customWidth="1" min="8" max="8"/>
    <col width="46" customWidth="1" min="9" max="9"/>
  </cols>
  <sheetData>
    <row r="1">
      <c r="A1" s="1" t="inlineStr">
        <is>
          <t>Chronological Submissions &amp; Evaluation Log</t>
        </is>
      </c>
    </row>
    <row r="2">
      <c r="A2" s="2" t="inlineStr">
        <is>
          <t>Complete log of submitted vectors, returned evaluations, and iterative strategic notes</t>
        </is>
      </c>
    </row>
    <row r="3"/>
    <row r="4" ht="26" customHeight="1">
      <c r="A4" s="15" t="inlineStr">
        <is>
          <t>Iteration Cycle</t>
        </is>
      </c>
      <c r="B4" s="15" t="inlineStr">
        <is>
          <t>Function</t>
        </is>
      </c>
      <c r="C4" s="15" t="inlineStr">
        <is>
          <t>Dim</t>
        </is>
      </c>
      <c r="D4" s="15" t="inlineStr">
        <is>
          <t>Target Domain</t>
        </is>
      </c>
      <c r="E4" s="15" t="inlineStr">
        <is>
          <t>Submitted Input Coordinate Vector</t>
        </is>
      </c>
      <c r="F4" s="15" t="inlineStr">
        <is>
          <t>Returned Output Value</t>
        </is>
      </c>
      <c r="G4" s="15" t="inlineStr">
        <is>
          <t>Previous Best Output</t>
        </is>
      </c>
      <c r="H4" s="15" t="inlineStr">
        <is>
          <t>Delta / Improvement</t>
        </is>
      </c>
      <c r="I4" s="15" t="inlineStr">
        <is>
          <t>Strategic Rationale &amp; Outcome Notes</t>
        </is>
      </c>
    </row>
    <row r="5" ht="20" customHeight="1">
      <c r="A5" s="6" t="inlineStr">
        <is>
          <t>Week 1</t>
        </is>
      </c>
      <c r="B5" s="4" t="inlineStr">
        <is>
          <t>Function 1</t>
        </is>
      </c>
      <c r="C5" s="6" t="n">
        <v>2</v>
      </c>
      <c r="D5" s="5" t="inlineStr">
        <is>
          <t>Radiation Detection</t>
        </is>
      </c>
      <c r="E5" s="6" t="inlineStr">
        <is>
          <t>0.670114-0.666526</t>
        </is>
      </c>
      <c r="F5" s="7" t="n">
        <v>-0.003606</v>
      </c>
      <c r="G5" s="7" t="n">
        <v>0</v>
      </c>
      <c r="H5" s="6" t="inlineStr">
        <is>
          <t>-0.003606</t>
        </is>
      </c>
      <c r="I5" s="5" t="inlineStr">
        <is>
          <t>Targeted non-zero proximity neighborhood; confirmed active radiation signal.</t>
        </is>
      </c>
    </row>
    <row r="6" ht="20" customHeight="1">
      <c r="A6" s="13" t="inlineStr">
        <is>
          <t>Week 1</t>
        </is>
      </c>
      <c r="B6" s="11" t="inlineStr">
        <is>
          <t>Function 2</t>
        </is>
      </c>
      <c r="C6" s="13" t="n">
        <v>2</v>
      </c>
      <c r="D6" s="12" t="inlineStr">
        <is>
          <t>Log-Likelihood</t>
        </is>
      </c>
      <c r="E6" s="13" t="inlineStr">
        <is>
          <t>0.725000-0.945000</t>
        </is>
      </c>
      <c r="F6" s="14" t="n">
        <v>0.506702</v>
      </c>
      <c r="G6" s="14" t="n">
        <v>0.611205</v>
      </c>
      <c r="H6" s="13" t="inlineStr">
        <is>
          <t>-0.104503</t>
        </is>
      </c>
      <c r="I6" s="12" t="inlineStr">
        <is>
          <t>Explored positive likelihood ridge; maintained high output.</t>
        </is>
      </c>
    </row>
    <row r="7" ht="20" customHeight="1">
      <c r="A7" s="6" t="inlineStr">
        <is>
          <t>Week 1</t>
        </is>
      </c>
      <c r="B7" s="4" t="inlineStr">
        <is>
          <t>Function 3</t>
        </is>
      </c>
      <c r="C7" s="6" t="n">
        <v>3</v>
      </c>
      <c r="D7" s="5" t="inlineStr">
        <is>
          <t>Drug Side-Effects</t>
        </is>
      </c>
      <c r="E7" s="6" t="inlineStr">
        <is>
          <t>0.515000-0.635000-0.150000</t>
        </is>
      </c>
      <c r="F7" s="7" t="n">
        <v>-0.048004</v>
      </c>
      <c r="G7" s="7" t="n">
        <v>-0.034835</v>
      </c>
      <c r="H7" s="6" t="inlineStr">
        <is>
          <t>-0.013169</t>
        </is>
      </c>
      <c r="I7" s="5" t="inlineStr">
        <is>
          <t>Constrained x2 &lt;= 0.15 to avoid steep side-effect penalty cliff.</t>
        </is>
      </c>
    </row>
    <row r="8" ht="20" customHeight="1">
      <c r="A8" s="13" t="inlineStr">
        <is>
          <t>Week 1</t>
        </is>
      </c>
      <c r="B8" s="11" t="inlineStr">
        <is>
          <t>Function 4</t>
        </is>
      </c>
      <c r="C8" s="13" t="n">
        <v>4</v>
      </c>
      <c r="D8" s="12" t="inlineStr">
        <is>
          <t>Warehouse Placement</t>
        </is>
      </c>
      <c r="E8" s="13" t="inlineStr">
        <is>
          <t>0.525000-0.435000-0.410000-0.220000</t>
        </is>
      </c>
      <c r="F8" s="14" t="n">
        <v>-4.025557</v>
      </c>
      <c r="G8" s="14" t="n">
        <v>-4.025542</v>
      </c>
      <c r="H8" s="13" t="inlineStr">
        <is>
          <t>-0.000015</t>
        </is>
      </c>
      <c r="I8" s="12" t="inlineStr">
        <is>
          <t>Refined central hyper-volume distance coordinates.</t>
        </is>
      </c>
    </row>
    <row r="9" ht="20" customHeight="1">
      <c r="A9" s="6" t="inlineStr">
        <is>
          <t>Week 1</t>
        </is>
      </c>
      <c r="B9" s="4" t="inlineStr">
        <is>
          <t>Function 5</t>
        </is>
      </c>
      <c r="C9" s="6" t="n">
        <v>4</v>
      </c>
      <c r="D9" s="5" t="inlineStr">
        <is>
          <t>Chemical Yield</t>
        </is>
      </c>
      <c r="E9" s="6" t="inlineStr">
        <is>
          <t>0.238338-0.837755-0.884887-0.879659</t>
        </is>
      </c>
      <c r="F9" s="7" t="n">
        <v>1088.858192</v>
      </c>
      <c r="G9" s="7" t="n">
        <v>1088.859618</v>
      </c>
      <c r="H9" s="6" t="inlineStr">
        <is>
          <t>-0.001426</t>
        </is>
      </c>
      <c r="I9" s="5" t="inlineStr">
        <is>
          <t>Verified unimodal chemical yield summit neighborhood.</t>
        </is>
      </c>
    </row>
    <row r="10" ht="20" customHeight="1">
      <c r="A10" s="13" t="inlineStr">
        <is>
          <t>Week 1</t>
        </is>
      </c>
      <c r="B10" s="11" t="inlineStr">
        <is>
          <t>Function 6</t>
        </is>
      </c>
      <c r="C10" s="13" t="n">
        <v>5</v>
      </c>
      <c r="D10" s="12" t="inlineStr">
        <is>
          <t>Cake Recipe Taste</t>
        </is>
      </c>
      <c r="E10" s="13" t="inlineStr">
        <is>
          <t>0.710000-0.180000-0.740000-0.710000-0.025000</t>
        </is>
      </c>
      <c r="F10" s="14" t="n">
        <v>-0.664287</v>
      </c>
      <c r="G10" s="14" t="n">
        <v>-0.714265</v>
      </c>
      <c r="H10" s="16" t="inlineStr">
        <is>
          <t>+0.049978</t>
        </is>
      </c>
      <c r="I10" s="12" t="inlineStr">
        <is>
          <t>NEW GLOBAL MAXIMUM! Constrained x4 &lt;= 0.025 eliminating taster penalties.</t>
        </is>
      </c>
    </row>
    <row r="11" ht="20" customHeight="1">
      <c r="A11" s="6" t="inlineStr">
        <is>
          <t>Week 1</t>
        </is>
      </c>
      <c r="B11" s="4" t="inlineStr">
        <is>
          <t>Function 7</t>
        </is>
      </c>
      <c r="C11" s="6" t="n">
        <v>6</v>
      </c>
      <c r="D11" s="5" t="inlineStr">
        <is>
          <t>6D ML Tuning</t>
        </is>
      </c>
      <c r="E11" s="6" t="inlineStr">
        <is>
          <t>0.050000-0.485000-0.255000-0.210000-0.430000-0.745000</t>
        </is>
      </c>
      <c r="F11" s="7" t="n">
        <v>1.36497</v>
      </c>
      <c r="G11" s="7" t="n">
        <v>1.364968</v>
      </c>
      <c r="H11" s="16" t="inlineStr">
        <is>
          <t>+0.000002</t>
        </is>
      </c>
      <c r="I11" s="5" t="inlineStr">
        <is>
          <t>NEW GLOBAL PEAK! Refined coordinates in top cluster hyper-space.</t>
        </is>
      </c>
    </row>
    <row r="12" ht="20" customHeight="1">
      <c r="A12" s="13" t="inlineStr">
        <is>
          <t>Week 1</t>
        </is>
      </c>
      <c r="B12" s="11" t="inlineStr">
        <is>
          <t>Function 8</t>
        </is>
      </c>
      <c r="C12" s="13" t="n">
        <v>8</v>
      </c>
      <c r="D12" s="12" t="inlineStr">
        <is>
          <t>8D ML Tuning</t>
        </is>
      </c>
      <c r="E12" s="13" t="inlineStr">
        <is>
          <t>0.045000-0.055000-0.020000-0.035000-0.415000-0.810000-0.495000-0.905000</t>
        </is>
      </c>
      <c r="F12" s="14" t="n">
        <v>9.598482000000001</v>
      </c>
      <c r="G12" s="14" t="n">
        <v>9.598482000000001</v>
      </c>
      <c r="H12" s="13" t="inlineStr">
        <is>
          <t>0.000000</t>
        </is>
      </c>
      <c r="I12" s="12" t="inlineStr">
        <is>
          <t>Retained optimal 4D hyper-corner coordinates (x0..x3 &lt;= 0.05).</t>
        </is>
      </c>
    </row>
    <row r="13" ht="20" customHeight="1">
      <c r="A13" s="6" t="inlineStr">
        <is>
          <t>Week 2</t>
        </is>
      </c>
      <c r="B13" s="4" t="inlineStr">
        <is>
          <t>Function 1</t>
        </is>
      </c>
      <c r="C13" s="6" t="n">
        <v>2</v>
      </c>
      <c r="D13" s="5" t="inlineStr">
        <is>
          <t>Radiation Detection</t>
        </is>
      </c>
      <c r="E13" s="6" t="inlineStr">
        <is>
          <t>0.000000-0.416565</t>
        </is>
      </c>
      <c r="F13" s="8" t="n">
        <v>-1.434379e-124</v>
      </c>
      <c r="G13" s="7" t="n">
        <v>0</v>
      </c>
      <c r="H13" s="6" t="inlineStr">
        <is>
          <t>Underflow</t>
        </is>
      </c>
      <c r="I13" s="5" t="inlineStr">
        <is>
          <t>Boundary probe confirmed extreme exponential spatial decay away from source.</t>
        </is>
      </c>
    </row>
    <row r="14" ht="20" customHeight="1">
      <c r="A14" s="13" t="inlineStr">
        <is>
          <t>Week 2</t>
        </is>
      </c>
      <c r="B14" s="11" t="inlineStr">
        <is>
          <t>Function 2</t>
        </is>
      </c>
      <c r="C14" s="13" t="n">
        <v>2</v>
      </c>
      <c r="D14" s="12" t="inlineStr">
        <is>
          <t>Log-Likelihood</t>
        </is>
      </c>
      <c r="E14" s="13" t="inlineStr">
        <is>
          <t>1.000000-1.000000</t>
        </is>
      </c>
      <c r="F14" s="14" t="n">
        <v>0.091422</v>
      </c>
      <c r="G14" s="14" t="n">
        <v>0.611205</v>
      </c>
      <c r="H14" s="13" t="inlineStr">
        <is>
          <t>-0.519783</t>
        </is>
      </c>
      <c r="I14" s="12" t="inlineStr">
        <is>
          <t>Extreme boundary corner degraded output; optimal ridge is interior.</t>
        </is>
      </c>
    </row>
    <row r="15" ht="20" customHeight="1">
      <c r="A15" s="6" t="inlineStr">
        <is>
          <t>Week 2</t>
        </is>
      </c>
      <c r="B15" s="4" t="inlineStr">
        <is>
          <t>Function 3</t>
        </is>
      </c>
      <c r="C15" s="6" t="n">
        <v>3</v>
      </c>
      <c r="D15" s="5" t="inlineStr">
        <is>
          <t>Drug Side-Effects</t>
        </is>
      </c>
      <c r="E15" s="6" t="inlineStr">
        <is>
          <t>0.000000-1.000000-0.000000</t>
        </is>
      </c>
      <c r="F15" s="7" t="n">
        <v>-0.157184</v>
      </c>
      <c r="G15" s="7" t="n">
        <v>-0.034835</v>
      </c>
      <c r="H15" s="6" t="inlineStr">
        <is>
          <t>-0.122349</t>
        </is>
      </c>
      <c r="I15" s="5" t="inlineStr">
        <is>
          <t>Boundary testing confirmed side-effects increase when x1 pushed to 1.0.</t>
        </is>
      </c>
    </row>
    <row r="16" ht="20" customHeight="1">
      <c r="A16" s="13" t="inlineStr">
        <is>
          <t>Week 2</t>
        </is>
      </c>
      <c r="B16" s="11" t="inlineStr">
        <is>
          <t>Function 4</t>
        </is>
      </c>
      <c r="C16" s="13" t="n">
        <v>4</v>
      </c>
      <c r="D16" s="12" t="inlineStr">
        <is>
          <t>Warehouse Placement</t>
        </is>
      </c>
      <c r="E16" s="13" t="inlineStr">
        <is>
          <t>0.512945-0.502627-0.409606-0.234242</t>
        </is>
      </c>
      <c r="F16" s="14" t="n">
        <v>-3.857021</v>
      </c>
      <c r="G16" s="14" t="n">
        <v>-4.025542</v>
      </c>
      <c r="H16" s="16" t="inlineStr">
        <is>
          <t>+0.168521</t>
        </is>
      </c>
      <c r="I16" s="12" t="inlineStr">
        <is>
          <t>NEW GLOBAL MAXIMUM! Central distance minimization confirmed.</t>
        </is>
      </c>
    </row>
    <row r="17" ht="20" customHeight="1">
      <c r="A17" s="6" t="inlineStr">
        <is>
          <t>Week 2</t>
        </is>
      </c>
      <c r="B17" s="4" t="inlineStr">
        <is>
          <t>Function 5</t>
        </is>
      </c>
      <c r="C17" s="6" t="n">
        <v>4</v>
      </c>
      <c r="D17" s="5" t="inlineStr">
        <is>
          <t>Chemical Yield</t>
        </is>
      </c>
      <c r="E17" s="6" t="inlineStr">
        <is>
          <t>0.219140-0.864334-1.000000-1.000000</t>
        </is>
      </c>
      <c r="F17" s="7" t="n">
        <v>3044.749281</v>
      </c>
      <c r="G17" s="7" t="n">
        <v>1088.859618</v>
      </c>
      <c r="H17" s="16" t="inlineStr">
        <is>
          <t>+1955.889663</t>
        </is>
      </c>
      <c r="I17" s="5" t="inlineStr">
        <is>
          <t>MASSIVE NEW RECORD! Expected Improvement switch drove yield up ~3x.</t>
        </is>
      </c>
    </row>
    <row r="18" ht="20" customHeight="1">
      <c r="A18" s="13" t="inlineStr">
        <is>
          <t>Week 2</t>
        </is>
      </c>
      <c r="B18" s="11" t="inlineStr">
        <is>
          <t>Function 6</t>
        </is>
      </c>
      <c r="C18" s="13" t="n">
        <v>5</v>
      </c>
      <c r="D18" s="12" t="inlineStr">
        <is>
          <t>Cake Recipe Taste</t>
        </is>
      </c>
      <c r="E18" s="13" t="inlineStr">
        <is>
          <t>1.000000-0.000000-1.000000-1.000000-0.000000</t>
        </is>
      </c>
      <c r="F18" s="14" t="n">
        <v>-1.636863</v>
      </c>
      <c r="G18" s="14" t="n">
        <v>-0.664287</v>
      </c>
      <c r="H18" s="13" t="inlineStr">
        <is>
          <t>-0.972576</t>
        </is>
      </c>
      <c r="I18" s="12" t="inlineStr">
        <is>
          <t>Corner boundary probe degraded; proved non-linear recipe interactions.</t>
        </is>
      </c>
    </row>
    <row r="19" ht="20" customHeight="1">
      <c r="A19" s="6" t="inlineStr">
        <is>
          <t>Week 2</t>
        </is>
      </c>
      <c r="B19" s="4" t="inlineStr">
        <is>
          <t>Function 7</t>
        </is>
      </c>
      <c r="C19" s="6" t="n">
        <v>6</v>
      </c>
      <c r="D19" s="5" t="inlineStr">
        <is>
          <t>6D ML Tuning</t>
        </is>
      </c>
      <c r="E19" s="6" t="inlineStr">
        <is>
          <t>0.000000-1.000000-1.000000-0.000000-1.000000-1.000000</t>
        </is>
      </c>
      <c r="F19" s="7" t="n">
        <v>0.000968</v>
      </c>
      <c r="G19" s="7" t="n">
        <v>1.36497</v>
      </c>
      <c r="H19" s="6" t="inlineStr">
        <is>
          <t>-1.364002</t>
        </is>
      </c>
      <c r="I19" s="5" t="inlineStr">
        <is>
          <t>Corner search returned near-zero; peak hyper-volume is strictly localized.</t>
        </is>
      </c>
    </row>
    <row r="20" ht="20" customHeight="1">
      <c r="A20" s="13" t="inlineStr">
        <is>
          <t>Week 2</t>
        </is>
      </c>
      <c r="B20" s="11" t="inlineStr">
        <is>
          <t>Function 8</t>
        </is>
      </c>
      <c r="C20" s="13" t="n">
        <v>8</v>
      </c>
      <c r="D20" s="12" t="inlineStr">
        <is>
          <t>8D ML Tuning</t>
        </is>
      </c>
      <c r="E20" s="13" t="inlineStr">
        <is>
          <t>0.000000-0.000000-0.176194-0.000000-0.000000-1.000000-1.000000-1.000000</t>
        </is>
      </c>
      <c r="F20" s="14" t="n">
        <v>8.062597999999999</v>
      </c>
      <c r="G20" s="14" t="n">
        <v>9.598482000000001</v>
      </c>
      <c r="H20" s="13" t="inlineStr">
        <is>
          <t>-1.535884</t>
        </is>
      </c>
      <c r="I20" s="12" t="inlineStr">
        <is>
          <t>Tested x2=0.176; confirmed x0..x3 must all remain &lt;= 0.05 for &gt; 9.5 output.</t>
        </is>
      </c>
    </row>
    <row r="21" ht="20" customHeight="1">
      <c r="A21" s="6" t="inlineStr">
        <is>
          <t>Week 3</t>
        </is>
      </c>
      <c r="B21" s="4" t="inlineStr">
        <is>
          <t>Function 1</t>
        </is>
      </c>
      <c r="C21" s="6" t="n">
        <v>2</v>
      </c>
      <c r="D21" s="5" t="inlineStr">
        <is>
          <t>Radiation Detection</t>
        </is>
      </c>
      <c r="E21" s="6" t="inlineStr">
        <is>
          <t>0.660114-0.674026</t>
        </is>
      </c>
      <c r="F21" s="17" t="inlineStr">
        <is>
          <t>Pending</t>
        </is>
      </c>
      <c r="G21" s="7" t="n">
        <v>0</v>
      </c>
      <c r="H21" s="6" t="inlineStr">
        <is>
          <t>Pending</t>
        </is>
      </c>
      <c r="I21" s="5" t="inlineStr">
        <is>
          <t>Centroid pinpointing between non-zero detections [0.650, 0.682] and [0.670, 0.667].</t>
        </is>
      </c>
    </row>
    <row r="22" ht="20" customHeight="1">
      <c r="A22" s="13" t="inlineStr">
        <is>
          <t>Week 3</t>
        </is>
      </c>
      <c r="B22" s="11" t="inlineStr">
        <is>
          <t>Function 2</t>
        </is>
      </c>
      <c r="C22" s="13" t="n">
        <v>2</v>
      </c>
      <c r="D22" s="12" t="inlineStr">
        <is>
          <t>Log-Likelihood</t>
        </is>
      </c>
      <c r="E22" s="13" t="inlineStr">
        <is>
          <t>0.691327-0.960000</t>
        </is>
      </c>
      <c r="F22" s="18" t="inlineStr">
        <is>
          <t>Pending</t>
        </is>
      </c>
      <c r="G22" s="14" t="n">
        <v>0.611205</v>
      </c>
      <c r="H22" s="13" t="inlineStr">
        <is>
          <t>Pending</t>
        </is>
      </c>
      <c r="I22" s="12" t="inlineStr">
        <is>
          <t>Fine-tuning along upper-right interior likelihood ridge.</t>
        </is>
      </c>
    </row>
    <row r="23" ht="20" customHeight="1">
      <c r="A23" s="6" t="inlineStr">
        <is>
          <t>Week 3</t>
        </is>
      </c>
      <c r="B23" s="4" t="inlineStr">
        <is>
          <t>Function 3</t>
        </is>
      </c>
      <c r="C23" s="6" t="n">
        <v>3</v>
      </c>
      <c r="D23" s="5" t="inlineStr">
        <is>
          <t>Drug Side-Effects</t>
        </is>
      </c>
      <c r="E23" s="6" t="inlineStr">
        <is>
          <t>0.640000-0.650000-0.098696</t>
        </is>
      </c>
      <c r="F23" s="17" t="inlineStr">
        <is>
          <t>Pending</t>
        </is>
      </c>
      <c r="G23" s="7" t="n">
        <v>-0.034835</v>
      </c>
      <c r="H23" s="6" t="inlineStr">
        <is>
          <t>Pending</t>
        </is>
      </c>
      <c r="I23" s="5" t="inlineStr">
        <is>
          <t>Targeting primary drug efficacy while constraining x2 &lt;= 0.10.</t>
        </is>
      </c>
    </row>
    <row r="24" ht="20" customHeight="1">
      <c r="A24" s="13" t="inlineStr">
        <is>
          <t>Week 3</t>
        </is>
      </c>
      <c r="B24" s="11" t="inlineStr">
        <is>
          <t>Function 4</t>
        </is>
      </c>
      <c r="C24" s="13" t="n">
        <v>4</v>
      </c>
      <c r="D24" s="12" t="inlineStr">
        <is>
          <t>Warehouse Placement</t>
        </is>
      </c>
      <c r="E24" s="13" t="inlineStr">
        <is>
          <t>0.490000-0.470000-0.390610-0.260000</t>
        </is>
      </c>
      <c r="F24" s="18" t="inlineStr">
        <is>
          <t>Pending</t>
        </is>
      </c>
      <c r="G24" s="14" t="n">
        <v>-3.857021</v>
      </c>
      <c r="H24" s="13" t="inlineStr">
        <is>
          <t>Pending</t>
        </is>
      </c>
      <c r="I24" s="12" t="inlineStr">
        <is>
          <t>Trust-region exploitation around Week 2 record maximum (-3.857021).</t>
        </is>
      </c>
    </row>
    <row r="25" ht="20" customHeight="1">
      <c r="A25" s="6" t="inlineStr">
        <is>
          <t>Week 3</t>
        </is>
      </c>
      <c r="B25" s="4" t="inlineStr">
        <is>
          <t>Function 5</t>
        </is>
      </c>
      <c r="C25" s="6" t="n">
        <v>4</v>
      </c>
      <c r="D25" s="5" t="inlineStr">
        <is>
          <t>Chemical Yield</t>
        </is>
      </c>
      <c r="E25" s="6" t="inlineStr">
        <is>
          <t>0.200000-0.890000-0.999999-0.999999</t>
        </is>
      </c>
      <c r="F25" s="17" t="inlineStr">
        <is>
          <t>Pending</t>
        </is>
      </c>
      <c r="G25" s="7" t="n">
        <v>3044.749281</v>
      </c>
      <c r="H25" s="6" t="inlineStr">
        <is>
          <t>Pending</t>
        </is>
      </c>
      <c r="I25" s="5" t="inlineStr">
        <is>
          <t>Expected Improvement exploitation of upper yield summit (3044.75).</t>
        </is>
      </c>
    </row>
    <row r="26" ht="20" customHeight="1">
      <c r="A26" s="13" t="inlineStr">
        <is>
          <t>Week 3</t>
        </is>
      </c>
      <c r="B26" s="11" t="inlineStr">
        <is>
          <t>Function 6</t>
        </is>
      </c>
      <c r="C26" s="13" t="n">
        <v>5</v>
      </c>
      <c r="D26" s="12" t="inlineStr">
        <is>
          <t>Cake Recipe Taste</t>
        </is>
      </c>
      <c r="E26" s="13" t="inlineStr">
        <is>
          <t>0.690000-0.150000-0.710000-0.730000-0.010000</t>
        </is>
      </c>
      <c r="F26" s="18" t="inlineStr">
        <is>
          <t>Pending</t>
        </is>
      </c>
      <c r="G26" s="14" t="n">
        <v>-0.664287</v>
      </c>
      <c r="H26" s="13" t="inlineStr">
        <is>
          <t>Pending</t>
        </is>
      </c>
      <c r="I26" s="12" t="inlineStr">
        <is>
          <t>Exploiting Week 1 global maximum with x4 = 0.01 to eliminate taste penalties.</t>
        </is>
      </c>
    </row>
    <row r="27" ht="20" customHeight="1">
      <c r="A27" s="6" t="inlineStr">
        <is>
          <t>Week 3</t>
        </is>
      </c>
      <c r="B27" s="4" t="inlineStr">
        <is>
          <t>Function 7</t>
        </is>
      </c>
      <c r="C27" s="6" t="n">
        <v>6</v>
      </c>
      <c r="D27" s="5" t="inlineStr">
        <is>
          <t>6D ML Tuning</t>
        </is>
      </c>
      <c r="E27" s="6" t="inlineStr">
        <is>
          <t>0.054000-0.488000-0.251000-0.214000-0.425000-0.738000</t>
        </is>
      </c>
      <c r="F27" s="17" t="inlineStr">
        <is>
          <t>Pending</t>
        </is>
      </c>
      <c r="G27" s="7" t="n">
        <v>1.36497</v>
      </c>
      <c r="H27" s="6" t="inlineStr">
        <is>
          <t>Pending</t>
        </is>
      </c>
      <c r="I27" s="5" t="inlineStr">
        <is>
          <t>High-density local Sobol refinement around proven 1.365 summit.</t>
        </is>
      </c>
    </row>
    <row r="28" ht="20" customHeight="1">
      <c r="A28" s="13" t="inlineStr">
        <is>
          <t>Week 3</t>
        </is>
      </c>
      <c r="B28" s="11" t="inlineStr">
        <is>
          <t>Function 8</t>
        </is>
      </c>
      <c r="C28" s="13" t="n">
        <v>8</v>
      </c>
      <c r="D28" s="12" t="inlineStr">
        <is>
          <t>8D ML Tuning</t>
        </is>
      </c>
      <c r="E28" s="13" t="inlineStr">
        <is>
          <t>0.035000-0.045000-0.030000-0.045000-0.425000-0.790000-0.475000-0.885000</t>
        </is>
      </c>
      <c r="F28" s="18" t="inlineStr">
        <is>
          <t>Pending</t>
        </is>
      </c>
      <c r="G28" s="14" t="n">
        <v>9.598482000000001</v>
      </c>
      <c r="H28" s="13" t="inlineStr">
        <is>
          <t>Pending</t>
        </is>
      </c>
      <c r="I28" s="12" t="inlineStr">
        <is>
          <t>High-dimensional Sobol search in optimal 4D sub-cube (x0..x3 &lt;= 0.05).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2026-10-11T12:13:09Z</dcterms:created>
  <dcterms:modified xmlns:dcterms="http://purl.org/dc/terms/" xmlns:xsi="http://www.w3.org/2001/XMLSchema-instance" xsi:type="dcterms:W3CDTF">2026-10-11T12:13:09Z</dcterms:modified>
</cp:coreProperties>
</file>